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a sem 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A17" authorId="0">
      <text>
        <r>
          <rPr>
            <sz val="10"/>
            <rFont val="Arial"/>
            <family val="2"/>
          </rPr>
          <t xml:space="preserve">Índice de aderência por edição - 
Corresponde a porcentagem que o artefato 1 classificou de acordo com o relatório do CFC, considerando cada edição do exame. 
Para tanto, a fórmula utilizada foi
Primeiramente, foi subtraído E de O, chegando ao resultado D.
Após isso, é somado verticalmente a quantidade de zeros que existem.
Finalmente, esse resultado é dividido por 12 (o número total de disciplinas).
Exemplo: 
Edição 1/2022
Quantidade de zeros na Edição 1/2022: 7
Número de disciplinas: 12 (é o padrão para todas as edições do exame)
7/12 = 58%</t>
        </r>
      </text>
    </comment>
    <comment ref="Z1" authorId="0">
      <text>
        <r>
          <rPr>
            <sz val="10"/>
            <rFont val="Arial"/>
            <family val="2"/>
          </rPr>
          <t xml:space="preserve">Índice de aderência por disciplina - 
Corresponde a porcentagem que o artefato 1 classificou corretamente de acordo com o relatório do CFC, considerando 9 edições do exame, entre os anos 2022-2023.
Para tanto, a fórmula utilizada foi
Primeiramente, foi subtraído E de O, chegando ao resultado D.
Após isso, é somado horizontalmente a quantidade de zeros que existem.
Finalmente, esse resultado é dividido por 9 (as edições do exame).
Exemplo: 
Auditoria Contábil:
Quantidade de zeros por disciplina: 8
Número de edições do exame: 9 (é o padrão para todas as disciplinas)
8/9 = 89%</t>
        </r>
      </text>
    </comment>
  </commentList>
</comments>
</file>

<file path=xl/sharedStrings.xml><?xml version="1.0" encoding="utf-8"?>
<sst xmlns="http://schemas.openxmlformats.org/spreadsheetml/2006/main" count="61" uniqueCount="35">
  <si>
    <t xml:space="preserve">Disciplina</t>
  </si>
  <si>
    <t xml:space="preserve">1/22</t>
  </si>
  <si>
    <t xml:space="preserve">2/22</t>
  </si>
  <si>
    <t xml:space="preserve">1/23</t>
  </si>
  <si>
    <t xml:space="preserve">2/23</t>
  </si>
  <si>
    <t xml:space="preserve">1/24</t>
  </si>
  <si>
    <t xml:space="preserve">2/24</t>
  </si>
  <si>
    <t xml:space="preserve">1/25</t>
  </si>
  <si>
    <t xml:space="preserve">2/25</t>
  </si>
  <si>
    <t xml:space="preserve">IAD</t>
  </si>
  <si>
    <t xml:space="preserve">E</t>
  </si>
  <si>
    <t xml:space="preserve">O</t>
  </si>
  <si>
    <t xml:space="preserve">D</t>
  </si>
  <si>
    <t xml:space="preserve">Auditoria Contábil</t>
  </si>
  <si>
    <t xml:space="preserve">Contabilidade Aplicada ao Setor Público</t>
  </si>
  <si>
    <t xml:space="preserve">Contabilidade de Custos</t>
  </si>
  <si>
    <t xml:space="preserve">Contabilidade Geral e NBCs</t>
  </si>
  <si>
    <t xml:space="preserve">Contabilidade Gerencial</t>
  </si>
  <si>
    <t xml:space="preserve">Controladoria</t>
  </si>
  <si>
    <t xml:space="preserve">Legislação e Ética Prossional</t>
  </si>
  <si>
    <t xml:space="preserve">Língua Portuguesa Aplicada</t>
  </si>
  <si>
    <t xml:space="preserve">Matemática Financeira e Estatística</t>
  </si>
  <si>
    <t xml:space="preserve">Noções de Direito e Legislação Aplicada</t>
  </si>
  <si>
    <t xml:space="preserve">Perícia Contábil</t>
  </si>
  <si>
    <t xml:space="preserve">Teoria da Contabilidade</t>
  </si>
  <si>
    <t xml:space="preserve">Quantidade de Zeros</t>
  </si>
  <si>
    <t xml:space="preserve">Total de questões</t>
  </si>
  <si>
    <t xml:space="preserve">-</t>
  </si>
  <si>
    <t xml:space="preserve">IAE</t>
  </si>
  <si>
    <t xml:space="preserve">Legenda</t>
  </si>
  <si>
    <r>
      <rPr>
        <b val="true"/>
        <sz val="11"/>
        <color theme="1"/>
        <rFont val="Arial"/>
        <family val="0"/>
        <charset val="1"/>
      </rPr>
      <t xml:space="preserve">E - </t>
    </r>
    <r>
      <rPr>
        <sz val="11"/>
        <color theme="1"/>
        <rFont val="Arial"/>
        <family val="0"/>
        <charset val="1"/>
      </rPr>
      <t xml:space="preserve">Nº</t>
    </r>
    <r>
      <rPr>
        <b val="true"/>
        <sz val="11"/>
        <color theme="1"/>
        <rFont val="Arial"/>
        <family val="0"/>
        <charset val="1"/>
      </rPr>
      <t xml:space="preserve"> </t>
    </r>
    <r>
      <rPr>
        <sz val="11"/>
        <color theme="1"/>
        <rFont val="Arial"/>
        <family val="0"/>
        <charset val="1"/>
      </rPr>
      <t xml:space="preserve">de</t>
    </r>
    <r>
      <rPr>
        <b val="true"/>
        <sz val="11"/>
        <color theme="1"/>
        <rFont val="Arial"/>
        <family val="0"/>
        <charset val="1"/>
      </rPr>
      <t xml:space="preserve"> </t>
    </r>
    <r>
      <rPr>
        <sz val="11"/>
        <color theme="1"/>
        <rFont val="Arial"/>
        <family val="0"/>
        <charset val="1"/>
      </rPr>
      <t xml:space="preserve">Questões por disciplinas extraídas e classificadas pela IA</t>
    </r>
  </si>
  <si>
    <r>
      <rPr>
        <b val="true"/>
        <sz val="11"/>
        <color theme="1"/>
        <rFont val="Arial"/>
        <family val="0"/>
        <charset val="1"/>
      </rPr>
      <t xml:space="preserve">O - </t>
    </r>
    <r>
      <rPr>
        <sz val="11"/>
        <color theme="1"/>
        <rFont val="Arial"/>
        <family val="0"/>
        <charset val="1"/>
      </rPr>
      <t xml:space="preserve">Nº de Questões oficiais classificadas por disciplinas pelo CFC</t>
    </r>
  </si>
  <si>
    <r>
      <rPr>
        <b val="true"/>
        <sz val="11"/>
        <color theme="1"/>
        <rFont val="Arial"/>
        <family val="0"/>
        <charset val="1"/>
      </rPr>
      <t xml:space="preserve">D</t>
    </r>
    <r>
      <rPr>
        <sz val="11"/>
        <color theme="1"/>
        <rFont val="Arial"/>
        <family val="0"/>
        <charset val="1"/>
      </rPr>
      <t xml:space="preserve"> </t>
    </r>
    <r>
      <rPr>
        <b val="true"/>
        <sz val="11"/>
        <color theme="1"/>
        <rFont val="Arial"/>
        <family val="0"/>
        <charset val="1"/>
      </rPr>
      <t xml:space="preserve">-</t>
    </r>
    <r>
      <rPr>
        <sz val="11"/>
        <color theme="1"/>
        <rFont val="Arial"/>
        <family val="0"/>
        <charset val="1"/>
      </rPr>
      <t xml:space="preserve"> Diferença entre Nº de questões extraídas e oficiais</t>
    </r>
  </si>
  <si>
    <r>
      <rPr>
        <b val="true"/>
        <sz val="11"/>
        <color theme="1"/>
        <rFont val="Arial"/>
        <family val="0"/>
        <charset val="1"/>
      </rPr>
      <t xml:space="preserve">IAE - </t>
    </r>
    <r>
      <rPr>
        <sz val="11"/>
        <color theme="1"/>
        <rFont val="Arial"/>
        <family val="0"/>
        <charset val="1"/>
      </rPr>
      <t xml:space="preserve">Índice de Aderência por Edição</t>
    </r>
  </si>
  <si>
    <r>
      <rPr>
        <b val="true"/>
        <sz val="11"/>
        <color theme="1"/>
        <rFont val="Arial"/>
        <family val="0"/>
        <charset val="1"/>
      </rPr>
      <t xml:space="preserve">IAD - </t>
    </r>
    <r>
      <rPr>
        <sz val="11"/>
        <color theme="1"/>
        <rFont val="Arial"/>
        <family val="0"/>
        <charset val="1"/>
      </rPr>
      <t xml:space="preserve">Índice de Aderência por Disciplina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</si>
</sst>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0%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Times New Roman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0"/>
      <color theme="1"/>
      <name val="Times New Roman"/>
      <family val="0"/>
      <charset val="1"/>
    </font>
    <font>
      <sz val="10"/>
      <color theme="1"/>
      <name val="Arial"/>
      <family val="0"/>
      <charset val="1"/>
    </font>
    <font>
      <b val="true"/>
      <sz val="12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G6" activeCellId="0" sqref="AG6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69.14"/>
    <col collapsed="false" customWidth="true" hidden="false" outlineLevel="0" max="3" min="2" style="0" width="3.5"/>
    <col collapsed="false" customWidth="true" hidden="false" outlineLevel="0" max="4" min="4" style="0" width="3.13"/>
    <col collapsed="false" customWidth="true" hidden="false" outlineLevel="0" max="6" min="5" style="0" width="3.5"/>
    <col collapsed="false" customWidth="true" hidden="false" outlineLevel="0" max="7" min="7" style="0" width="3.13"/>
    <col collapsed="false" customWidth="true" hidden="false" outlineLevel="0" max="9" min="8" style="0" width="3.5"/>
    <col collapsed="false" customWidth="true" hidden="false" outlineLevel="0" max="10" min="10" style="0" width="3.13"/>
    <col collapsed="false" customWidth="true" hidden="false" outlineLevel="0" max="12" min="11" style="0" width="3.5"/>
    <col collapsed="false" customWidth="true" hidden="false" outlineLevel="0" max="13" min="13" style="0" width="3.13"/>
    <col collapsed="false" customWidth="true" hidden="false" outlineLevel="0" max="15" min="14" style="0" width="3.5"/>
    <col collapsed="false" customWidth="true" hidden="false" outlineLevel="0" max="16" min="16" style="0" width="3.13"/>
    <col collapsed="false" customWidth="true" hidden="false" outlineLevel="0" max="17" min="17" style="0" width="4"/>
    <col collapsed="false" customWidth="true" hidden="false" outlineLevel="0" max="21" min="18" style="0" width="3.5"/>
    <col collapsed="false" customWidth="true" hidden="false" outlineLevel="0" max="22" min="22" style="0" width="3.13"/>
    <col collapsed="false" customWidth="true" hidden="false" outlineLevel="0" max="23" min="23" style="0" width="4"/>
    <col collapsed="false" customWidth="true" hidden="false" outlineLevel="0" max="25" min="24" style="0" width="3.38"/>
    <col collapsed="false" customWidth="true" hidden="false" outlineLevel="0" max="26" min="26" style="0" width="6.25"/>
    <col collapsed="false" customWidth="true" hidden="false" outlineLevel="0" max="27" min="27" style="0" width="11.5"/>
  </cols>
  <sheetData>
    <row r="1" customFormat="false" ht="12.75" hidden="false" customHeight="true" outlineLevel="0" collapsed="false">
      <c r="A1" s="1" t="s">
        <v>0</v>
      </c>
      <c r="B1" s="2" t="s">
        <v>1</v>
      </c>
      <c r="C1" s="2"/>
      <c r="D1" s="2"/>
      <c r="E1" s="3" t="s">
        <v>2</v>
      </c>
      <c r="F1" s="3"/>
      <c r="G1" s="3"/>
      <c r="H1" s="3" t="s">
        <v>3</v>
      </c>
      <c r="I1" s="3"/>
      <c r="J1" s="3"/>
      <c r="K1" s="3" t="s">
        <v>4</v>
      </c>
      <c r="L1" s="3"/>
      <c r="M1" s="3"/>
      <c r="N1" s="3" t="s">
        <v>5</v>
      </c>
      <c r="O1" s="3"/>
      <c r="P1" s="3"/>
      <c r="Q1" s="1" t="s">
        <v>6</v>
      </c>
      <c r="R1" s="1"/>
      <c r="S1" s="1"/>
      <c r="T1" s="3" t="s">
        <v>7</v>
      </c>
      <c r="U1" s="3"/>
      <c r="V1" s="3"/>
      <c r="W1" s="3" t="s">
        <v>8</v>
      </c>
      <c r="X1" s="3"/>
      <c r="Y1" s="3"/>
      <c r="Z1" s="4" t="s">
        <v>9</v>
      </c>
    </row>
    <row r="2" customFormat="false" ht="12.75" hidden="false" customHeight="true" outlineLevel="0" collapsed="false">
      <c r="A2" s="5"/>
      <c r="B2" s="5" t="s">
        <v>10</v>
      </c>
      <c r="C2" s="6" t="s">
        <v>11</v>
      </c>
      <c r="D2" s="7" t="s">
        <v>12</v>
      </c>
      <c r="E2" s="5" t="s">
        <v>10</v>
      </c>
      <c r="F2" s="6" t="s">
        <v>11</v>
      </c>
      <c r="G2" s="7" t="s">
        <v>12</v>
      </c>
      <c r="H2" s="5" t="s">
        <v>10</v>
      </c>
      <c r="I2" s="6" t="s">
        <v>11</v>
      </c>
      <c r="J2" s="7" t="s">
        <v>12</v>
      </c>
      <c r="K2" s="5" t="s">
        <v>10</v>
      </c>
      <c r="L2" s="6" t="s">
        <v>11</v>
      </c>
      <c r="M2" s="7" t="s">
        <v>12</v>
      </c>
      <c r="N2" s="5" t="s">
        <v>10</v>
      </c>
      <c r="O2" s="6" t="s">
        <v>11</v>
      </c>
      <c r="P2" s="7" t="s">
        <v>12</v>
      </c>
      <c r="Q2" s="5" t="s">
        <v>10</v>
      </c>
      <c r="R2" s="8" t="s">
        <v>11</v>
      </c>
      <c r="S2" s="6" t="s">
        <v>12</v>
      </c>
      <c r="T2" s="5" t="s">
        <v>10</v>
      </c>
      <c r="U2" s="6" t="s">
        <v>11</v>
      </c>
      <c r="V2" s="7" t="s">
        <v>12</v>
      </c>
      <c r="W2" s="5" t="s">
        <v>10</v>
      </c>
      <c r="X2" s="8" t="s">
        <v>11</v>
      </c>
      <c r="Y2" s="8" t="s">
        <v>12</v>
      </c>
      <c r="Z2" s="4"/>
    </row>
    <row r="3" customFormat="false" ht="12.75" hidden="false" customHeight="true" outlineLevel="0" collapsed="false">
      <c r="A3" s="9" t="s">
        <v>13</v>
      </c>
      <c r="B3" s="9" t="n">
        <v>2</v>
      </c>
      <c r="C3" s="10" t="n">
        <v>2</v>
      </c>
      <c r="D3" s="11" t="n">
        <f aca="false">B3-C3</f>
        <v>0</v>
      </c>
      <c r="E3" s="9" t="n">
        <v>2</v>
      </c>
      <c r="F3" s="10" t="n">
        <v>2</v>
      </c>
      <c r="G3" s="11" t="n">
        <f aca="false">E3-F3</f>
        <v>0</v>
      </c>
      <c r="H3" s="9" t="n">
        <v>2</v>
      </c>
      <c r="I3" s="10" t="n">
        <v>2</v>
      </c>
      <c r="J3" s="11" t="n">
        <f aca="false">H3-I3</f>
        <v>0</v>
      </c>
      <c r="K3" s="9" t="n">
        <v>3</v>
      </c>
      <c r="L3" s="10" t="n">
        <v>2</v>
      </c>
      <c r="M3" s="11" t="n">
        <f aca="false">K3-L3</f>
        <v>1</v>
      </c>
      <c r="N3" s="9" t="n">
        <v>2</v>
      </c>
      <c r="O3" s="10" t="n">
        <v>2</v>
      </c>
      <c r="P3" s="11" t="n">
        <f aca="false">N3-O3</f>
        <v>0</v>
      </c>
      <c r="Q3" s="9" t="n">
        <v>2</v>
      </c>
      <c r="R3" s="10" t="n">
        <v>2</v>
      </c>
      <c r="S3" s="10" t="n">
        <f aca="false">Q3-R3</f>
        <v>0</v>
      </c>
      <c r="T3" s="9" t="n">
        <v>2</v>
      </c>
      <c r="U3" s="10" t="n">
        <v>2</v>
      </c>
      <c r="V3" s="11" t="n">
        <f aca="false">T3-U3</f>
        <v>0</v>
      </c>
      <c r="W3" s="9" t="n">
        <v>2</v>
      </c>
      <c r="X3" s="10" t="n">
        <v>2</v>
      </c>
      <c r="Y3" s="11" t="n">
        <f aca="false">W3-X3</f>
        <v>0</v>
      </c>
      <c r="Z3" s="12" t="n">
        <f aca="false">COUNTIFS($A$2:$Y$2, "D", A3:Y3, 0)/8</f>
        <v>0.875</v>
      </c>
    </row>
    <row r="4" customFormat="false" ht="12.75" hidden="false" customHeight="true" outlineLevel="0" collapsed="false">
      <c r="A4" s="9" t="s">
        <v>14</v>
      </c>
      <c r="B4" s="9" t="n">
        <v>3</v>
      </c>
      <c r="C4" s="10" t="n">
        <v>3</v>
      </c>
      <c r="D4" s="11" t="n">
        <f aca="false">B4-C4</f>
        <v>0</v>
      </c>
      <c r="E4" s="9" t="n">
        <v>4</v>
      </c>
      <c r="F4" s="10" t="n">
        <v>3</v>
      </c>
      <c r="G4" s="11" t="n">
        <f aca="false">E4-F4</f>
        <v>1</v>
      </c>
      <c r="H4" s="9" t="n">
        <v>3</v>
      </c>
      <c r="I4" s="10" t="n">
        <v>3</v>
      </c>
      <c r="J4" s="11" t="n">
        <f aca="false">H4-I4</f>
        <v>0</v>
      </c>
      <c r="K4" s="9" t="n">
        <v>3</v>
      </c>
      <c r="L4" s="10" t="n">
        <v>3</v>
      </c>
      <c r="M4" s="11" t="n">
        <f aca="false">K4-L4</f>
        <v>0</v>
      </c>
      <c r="N4" s="9" t="n">
        <v>3</v>
      </c>
      <c r="O4" s="10" t="n">
        <v>3</v>
      </c>
      <c r="P4" s="11" t="n">
        <f aca="false">N4-O4</f>
        <v>0</v>
      </c>
      <c r="Q4" s="9" t="n">
        <v>3</v>
      </c>
      <c r="R4" s="10" t="n">
        <v>3</v>
      </c>
      <c r="S4" s="10" t="n">
        <f aca="false">Q4-R4</f>
        <v>0</v>
      </c>
      <c r="T4" s="9" t="n">
        <v>3</v>
      </c>
      <c r="U4" s="10" t="n">
        <v>3</v>
      </c>
      <c r="V4" s="11" t="n">
        <f aca="false">T4-U4</f>
        <v>0</v>
      </c>
      <c r="W4" s="9" t="n">
        <v>3</v>
      </c>
      <c r="X4" s="10" t="n">
        <v>3</v>
      </c>
      <c r="Y4" s="11" t="n">
        <f aca="false">W4-X4</f>
        <v>0</v>
      </c>
      <c r="Z4" s="12" t="n">
        <f aca="false">COUNTIFS($A$2:$Y$2, "D", A4:Y4, 0)/8</f>
        <v>0.875</v>
      </c>
    </row>
    <row r="5" customFormat="false" ht="12.75" hidden="false" customHeight="true" outlineLevel="0" collapsed="false">
      <c r="A5" s="9" t="s">
        <v>15</v>
      </c>
      <c r="B5" s="9" t="n">
        <v>3</v>
      </c>
      <c r="C5" s="10" t="n">
        <v>4</v>
      </c>
      <c r="D5" s="11" t="n">
        <f aca="false">B5-C5</f>
        <v>-1</v>
      </c>
      <c r="E5" s="9" t="n">
        <v>5</v>
      </c>
      <c r="F5" s="10" t="n">
        <v>4</v>
      </c>
      <c r="G5" s="11" t="n">
        <f aca="false">E5-F5</f>
        <v>1</v>
      </c>
      <c r="H5" s="9" t="n">
        <v>5</v>
      </c>
      <c r="I5" s="10" t="n">
        <v>4</v>
      </c>
      <c r="J5" s="11" t="n">
        <f aca="false">H5-I5</f>
        <v>1</v>
      </c>
      <c r="K5" s="9" t="n">
        <v>2</v>
      </c>
      <c r="L5" s="10" t="n">
        <v>1</v>
      </c>
      <c r="M5" s="11" t="n">
        <f aca="false">K5-L5</f>
        <v>1</v>
      </c>
      <c r="N5" s="9" t="n">
        <v>0</v>
      </c>
      <c r="O5" s="10" t="n">
        <v>1</v>
      </c>
      <c r="P5" s="11" t="n">
        <f aca="false">N5-O5</f>
        <v>-1</v>
      </c>
      <c r="Q5" s="9" t="n">
        <v>3</v>
      </c>
      <c r="R5" s="10" t="n">
        <v>4</v>
      </c>
      <c r="S5" s="10" t="n">
        <f aca="false">Q5-R5</f>
        <v>-1</v>
      </c>
      <c r="T5" s="9" t="n">
        <v>4</v>
      </c>
      <c r="U5" s="10" t="n">
        <v>4</v>
      </c>
      <c r="V5" s="11" t="n">
        <f aca="false">T5-U5</f>
        <v>0</v>
      </c>
      <c r="W5" s="9" t="n">
        <v>3</v>
      </c>
      <c r="X5" s="10" t="n">
        <v>4</v>
      </c>
      <c r="Y5" s="11" t="n">
        <f aca="false">W5-X5</f>
        <v>-1</v>
      </c>
      <c r="Z5" s="12" t="n">
        <f aca="false">COUNTIFS($A$2:$Y$2, "D", A5:Y5, 0)/8</f>
        <v>0.125</v>
      </c>
    </row>
    <row r="6" customFormat="false" ht="12.75" hidden="false" customHeight="true" outlineLevel="0" collapsed="false">
      <c r="A6" s="9" t="s">
        <v>16</v>
      </c>
      <c r="B6" s="9" t="n">
        <v>22</v>
      </c>
      <c r="C6" s="10" t="n">
        <v>21</v>
      </c>
      <c r="D6" s="11" t="n">
        <f aca="false">B6-C6</f>
        <v>1</v>
      </c>
      <c r="E6" s="9" t="n">
        <v>23</v>
      </c>
      <c r="F6" s="10" t="n">
        <v>21</v>
      </c>
      <c r="G6" s="11" t="n">
        <f aca="false">E6-F6</f>
        <v>2</v>
      </c>
      <c r="H6" s="9" t="n">
        <v>24</v>
      </c>
      <c r="I6" s="10" t="n">
        <v>21</v>
      </c>
      <c r="J6" s="11" t="n">
        <f aca="false">H6-I6</f>
        <v>3</v>
      </c>
      <c r="K6" s="9" t="n">
        <v>23</v>
      </c>
      <c r="L6" s="10" t="n">
        <v>22</v>
      </c>
      <c r="M6" s="11" t="n">
        <f aca="false">K6-L6</f>
        <v>1</v>
      </c>
      <c r="N6" s="9" t="n">
        <v>22</v>
      </c>
      <c r="O6" s="10" t="n">
        <v>22</v>
      </c>
      <c r="P6" s="11" t="n">
        <f aca="false">N6-O6</f>
        <v>0</v>
      </c>
      <c r="Q6" s="9" t="n">
        <v>22</v>
      </c>
      <c r="R6" s="10" t="n">
        <v>21</v>
      </c>
      <c r="S6" s="10" t="n">
        <f aca="false">Q6-R6</f>
        <v>1</v>
      </c>
      <c r="T6" s="9" t="n">
        <v>20</v>
      </c>
      <c r="U6" s="10" t="n">
        <v>21</v>
      </c>
      <c r="V6" s="11" t="n">
        <f aca="false">T6-U6</f>
        <v>-1</v>
      </c>
      <c r="W6" s="9" t="n">
        <v>22</v>
      </c>
      <c r="X6" s="10" t="n">
        <v>21</v>
      </c>
      <c r="Y6" s="11" t="n">
        <f aca="false">W6-X6</f>
        <v>1</v>
      </c>
      <c r="Z6" s="12" t="n">
        <f aca="false">COUNTIFS($A$2:$Y$2, "D", A6:Y6, 0)/8</f>
        <v>0.125</v>
      </c>
    </row>
    <row r="7" customFormat="false" ht="12.75" hidden="false" customHeight="true" outlineLevel="0" collapsed="false">
      <c r="A7" s="9" t="s">
        <v>17</v>
      </c>
      <c r="B7" s="9" t="n">
        <v>4</v>
      </c>
      <c r="C7" s="10" t="n">
        <v>2</v>
      </c>
      <c r="D7" s="11" t="n">
        <f aca="false">B7-C7</f>
        <v>2</v>
      </c>
      <c r="E7" s="9" t="n">
        <v>1</v>
      </c>
      <c r="F7" s="10" t="n">
        <v>2</v>
      </c>
      <c r="G7" s="11" t="n">
        <f aca="false">E7-F7</f>
        <v>-1</v>
      </c>
      <c r="H7" s="9" t="n">
        <v>2</v>
      </c>
      <c r="I7" s="10" t="n">
        <v>2</v>
      </c>
      <c r="J7" s="11" t="n">
        <f aca="false">H7-I7</f>
        <v>0</v>
      </c>
      <c r="K7" s="9" t="n">
        <v>2</v>
      </c>
      <c r="L7" s="10" t="n">
        <v>5</v>
      </c>
      <c r="M7" s="11" t="n">
        <f aca="false">K7-L7</f>
        <v>-3</v>
      </c>
      <c r="N7" s="9" t="n">
        <v>6</v>
      </c>
      <c r="O7" s="10" t="n">
        <v>5</v>
      </c>
      <c r="P7" s="11" t="n">
        <f aca="false">N7-O7</f>
        <v>1</v>
      </c>
      <c r="Q7" s="9" t="n">
        <v>2</v>
      </c>
      <c r="R7" s="10" t="n">
        <v>2</v>
      </c>
      <c r="S7" s="10" t="n">
        <f aca="false">Q7-R7</f>
        <v>0</v>
      </c>
      <c r="T7" s="9" t="n">
        <v>3</v>
      </c>
      <c r="U7" s="10" t="n">
        <v>3</v>
      </c>
      <c r="V7" s="11" t="n">
        <f aca="false">T7-U7</f>
        <v>0</v>
      </c>
      <c r="W7" s="9" t="n">
        <v>3</v>
      </c>
      <c r="X7" s="10" t="n">
        <v>3</v>
      </c>
      <c r="Y7" s="11" t="n">
        <f aca="false">W7-X7</f>
        <v>0</v>
      </c>
      <c r="Z7" s="12" t="n">
        <f aca="false">COUNTIFS($A$2:$Y$2, "D", A7:Y7, 0)/8</f>
        <v>0.5</v>
      </c>
    </row>
    <row r="8" customFormat="false" ht="12.75" hidden="false" customHeight="true" outlineLevel="0" collapsed="false">
      <c r="A8" s="9" t="s">
        <v>18</v>
      </c>
      <c r="B8" s="9" t="n">
        <v>1</v>
      </c>
      <c r="C8" s="10" t="n">
        <v>1</v>
      </c>
      <c r="D8" s="11" t="n">
        <f aca="false">B8-C8</f>
        <v>0</v>
      </c>
      <c r="E8" s="9" t="n">
        <v>1</v>
      </c>
      <c r="F8" s="10" t="n">
        <v>1</v>
      </c>
      <c r="G8" s="11" t="n">
        <f aca="false">E8-F8</f>
        <v>0</v>
      </c>
      <c r="H8" s="9" t="n">
        <v>0</v>
      </c>
      <c r="I8" s="10" t="n">
        <v>1</v>
      </c>
      <c r="J8" s="11" t="n">
        <f aca="false">H8-I8</f>
        <v>-1</v>
      </c>
      <c r="K8" s="9" t="n">
        <v>1</v>
      </c>
      <c r="L8" s="10" t="n">
        <v>1</v>
      </c>
      <c r="M8" s="11" t="n">
        <f aca="false">K8-L8</f>
        <v>0</v>
      </c>
      <c r="N8" s="9" t="n">
        <v>1</v>
      </c>
      <c r="O8" s="10" t="n">
        <v>1</v>
      </c>
      <c r="P8" s="11" t="n">
        <f aca="false">N8-O8</f>
        <v>0</v>
      </c>
      <c r="Q8" s="9" t="n">
        <v>1</v>
      </c>
      <c r="R8" s="10" t="n">
        <v>1</v>
      </c>
      <c r="S8" s="10" t="n">
        <f aca="false">Q8-R8</f>
        <v>0</v>
      </c>
      <c r="T8" s="9" t="n">
        <v>2</v>
      </c>
      <c r="U8" s="10" t="n">
        <v>2</v>
      </c>
      <c r="V8" s="11" t="n">
        <f aca="false">T8-U8</f>
        <v>0</v>
      </c>
      <c r="W8" s="9" t="n">
        <v>2</v>
      </c>
      <c r="X8" s="10" t="n">
        <v>2</v>
      </c>
      <c r="Y8" s="11" t="n">
        <f aca="false">W8-X8</f>
        <v>0</v>
      </c>
      <c r="Z8" s="12" t="n">
        <f aca="false">COUNTIFS($A$2:$Y$2, "D", A8:Y8, 0)/8</f>
        <v>0.875</v>
      </c>
    </row>
    <row r="9" customFormat="false" ht="12.75" hidden="false" customHeight="true" outlineLevel="0" collapsed="false">
      <c r="A9" s="9" t="s">
        <v>19</v>
      </c>
      <c r="B9" s="9" t="n">
        <v>4</v>
      </c>
      <c r="C9" s="10" t="n">
        <v>4</v>
      </c>
      <c r="D9" s="11" t="n">
        <f aca="false">B9-C9</f>
        <v>0</v>
      </c>
      <c r="E9" s="9" t="n">
        <v>4</v>
      </c>
      <c r="F9" s="10" t="n">
        <v>4</v>
      </c>
      <c r="G9" s="11" t="n">
        <f aca="false">E9-F9</f>
        <v>0</v>
      </c>
      <c r="H9" s="9" t="n">
        <v>4</v>
      </c>
      <c r="I9" s="10" t="n">
        <v>4</v>
      </c>
      <c r="J9" s="11" t="n">
        <f aca="false">H9-I9</f>
        <v>0</v>
      </c>
      <c r="K9" s="9" t="n">
        <v>7</v>
      </c>
      <c r="L9" s="10" t="n">
        <v>3</v>
      </c>
      <c r="M9" s="11" t="n">
        <f aca="false">K9-L9</f>
        <v>4</v>
      </c>
      <c r="N9" s="9" t="n">
        <v>3</v>
      </c>
      <c r="O9" s="10" t="n">
        <v>3</v>
      </c>
      <c r="P9" s="11" t="n">
        <f aca="false">N9-O9</f>
        <v>0</v>
      </c>
      <c r="Q9" s="9" t="n">
        <v>3</v>
      </c>
      <c r="R9" s="10" t="n">
        <v>4</v>
      </c>
      <c r="S9" s="10" t="n">
        <f aca="false">Q9-R9</f>
        <v>-1</v>
      </c>
      <c r="T9" s="9" t="n">
        <v>2</v>
      </c>
      <c r="U9" s="10" t="n">
        <v>2</v>
      </c>
      <c r="V9" s="11" t="n">
        <f aca="false">T9-U9</f>
        <v>0</v>
      </c>
      <c r="W9" s="9" t="n">
        <v>2</v>
      </c>
      <c r="X9" s="10" t="n">
        <v>2</v>
      </c>
      <c r="Y9" s="11" t="n">
        <f aca="false">W9-X9</f>
        <v>0</v>
      </c>
      <c r="Z9" s="12" t="n">
        <f aca="false">COUNTIFS($A$2:$Y$2, "D", A9:Y9, 0)/8</f>
        <v>0.75</v>
      </c>
    </row>
    <row r="10" customFormat="false" ht="12.75" hidden="false" customHeight="true" outlineLevel="0" collapsed="false">
      <c r="A10" s="9" t="s">
        <v>20</v>
      </c>
      <c r="B10" s="9" t="n">
        <v>2</v>
      </c>
      <c r="C10" s="10" t="n">
        <v>2</v>
      </c>
      <c r="D10" s="11" t="n">
        <f aca="false">B10-C10</f>
        <v>0</v>
      </c>
      <c r="E10" s="9" t="n">
        <v>2</v>
      </c>
      <c r="F10" s="10" t="n">
        <v>2</v>
      </c>
      <c r="G10" s="11" t="n">
        <f aca="false">E10-F10</f>
        <v>0</v>
      </c>
      <c r="H10" s="9" t="n">
        <v>2</v>
      </c>
      <c r="I10" s="10" t="n">
        <v>2</v>
      </c>
      <c r="J10" s="11" t="n">
        <f aca="false">H10-I10</f>
        <v>0</v>
      </c>
      <c r="K10" s="9" t="n">
        <v>2</v>
      </c>
      <c r="L10" s="10" t="n">
        <v>2</v>
      </c>
      <c r="M10" s="11" t="n">
        <f aca="false">K10-L10</f>
        <v>0</v>
      </c>
      <c r="N10" s="9" t="n">
        <v>2</v>
      </c>
      <c r="O10" s="10" t="n">
        <v>2</v>
      </c>
      <c r="P10" s="11" t="n">
        <f aca="false">N10-O10</f>
        <v>0</v>
      </c>
      <c r="Q10" s="9" t="n">
        <v>2</v>
      </c>
      <c r="R10" s="10" t="n">
        <v>2</v>
      </c>
      <c r="S10" s="10" t="n">
        <f aca="false">Q10-R10</f>
        <v>0</v>
      </c>
      <c r="T10" s="9" t="n">
        <v>2</v>
      </c>
      <c r="U10" s="10" t="n">
        <v>2</v>
      </c>
      <c r="V10" s="11" t="n">
        <f aca="false">T10-U10</f>
        <v>0</v>
      </c>
      <c r="W10" s="9" t="n">
        <v>2</v>
      </c>
      <c r="X10" s="10" t="n">
        <v>2</v>
      </c>
      <c r="Y10" s="11" t="n">
        <f aca="false">W10-X10</f>
        <v>0</v>
      </c>
      <c r="Z10" s="12" t="n">
        <f aca="false">COUNTIFS($A$2:$Y$2, "D", A10:Y10, 0)/8</f>
        <v>1</v>
      </c>
    </row>
    <row r="11" customFormat="false" ht="12.75" hidden="false" customHeight="true" outlineLevel="0" collapsed="false">
      <c r="A11" s="9" t="s">
        <v>21</v>
      </c>
      <c r="B11" s="9" t="n">
        <v>1</v>
      </c>
      <c r="C11" s="10" t="n">
        <v>2</v>
      </c>
      <c r="D11" s="11" t="n">
        <f aca="false">B11-C11</f>
        <v>-1</v>
      </c>
      <c r="E11" s="9" t="n">
        <v>2</v>
      </c>
      <c r="F11" s="10" t="n">
        <v>2</v>
      </c>
      <c r="G11" s="11" t="n">
        <f aca="false">E11-F11</f>
        <v>0</v>
      </c>
      <c r="H11" s="9" t="n">
        <v>3</v>
      </c>
      <c r="I11" s="10" t="n">
        <v>2</v>
      </c>
      <c r="J11" s="11" t="n">
        <f aca="false">H11-I11</f>
        <v>1</v>
      </c>
      <c r="K11" s="9" t="n">
        <v>1</v>
      </c>
      <c r="L11" s="10" t="n">
        <v>2</v>
      </c>
      <c r="M11" s="11" t="n">
        <f aca="false">K11-L11</f>
        <v>-1</v>
      </c>
      <c r="N11" s="9" t="n">
        <v>2</v>
      </c>
      <c r="O11" s="10" t="n">
        <v>2</v>
      </c>
      <c r="P11" s="11" t="n">
        <f aca="false">N11-O11</f>
        <v>0</v>
      </c>
      <c r="Q11" s="9" t="n">
        <v>2</v>
      </c>
      <c r="R11" s="10" t="n">
        <v>2</v>
      </c>
      <c r="S11" s="10" t="n">
        <f aca="false">Q11-R11</f>
        <v>0</v>
      </c>
      <c r="T11" s="9" t="n">
        <v>2</v>
      </c>
      <c r="U11" s="10" t="n">
        <v>2</v>
      </c>
      <c r="V11" s="11" t="n">
        <f aca="false">T11-U11</f>
        <v>0</v>
      </c>
      <c r="W11" s="9" t="n">
        <v>2</v>
      </c>
      <c r="X11" s="10" t="n">
        <v>2</v>
      </c>
      <c r="Y11" s="11" t="n">
        <f aca="false">W11-X11</f>
        <v>0</v>
      </c>
      <c r="Z11" s="12" t="n">
        <f aca="false">COUNTIFS($A$2:$Y$2, "D", A11:Y11, 0)/8</f>
        <v>0.625</v>
      </c>
    </row>
    <row r="12" customFormat="false" ht="12.75" hidden="false" customHeight="true" outlineLevel="0" collapsed="false">
      <c r="A12" s="9" t="s">
        <v>22</v>
      </c>
      <c r="B12" s="9" t="n">
        <v>3</v>
      </c>
      <c r="C12" s="10" t="n">
        <v>3</v>
      </c>
      <c r="D12" s="11" t="n">
        <f aca="false">B12-C12</f>
        <v>0</v>
      </c>
      <c r="E12" s="9" t="n">
        <v>1</v>
      </c>
      <c r="F12" s="10" t="n">
        <v>3</v>
      </c>
      <c r="G12" s="11" t="n">
        <f aca="false">E12-F12</f>
        <v>-2</v>
      </c>
      <c r="H12" s="9" t="n">
        <v>2</v>
      </c>
      <c r="I12" s="10" t="n">
        <v>3</v>
      </c>
      <c r="J12" s="11" t="n">
        <f aca="false">H12-I12</f>
        <v>-1</v>
      </c>
      <c r="K12" s="9" t="n">
        <v>2</v>
      </c>
      <c r="L12" s="10" t="n">
        <v>3</v>
      </c>
      <c r="M12" s="11" t="n">
        <f aca="false">K12-L12</f>
        <v>-1</v>
      </c>
      <c r="N12" s="9" t="n">
        <v>3</v>
      </c>
      <c r="O12" s="10" t="n">
        <v>3</v>
      </c>
      <c r="P12" s="11" t="n">
        <f aca="false">N12-O12</f>
        <v>0</v>
      </c>
      <c r="Q12" s="9" t="n">
        <v>3</v>
      </c>
      <c r="R12" s="10" t="n">
        <v>3</v>
      </c>
      <c r="S12" s="10" t="n">
        <f aca="false">Q12-R12</f>
        <v>0</v>
      </c>
      <c r="T12" s="9" t="n">
        <v>3</v>
      </c>
      <c r="U12" s="10" t="n">
        <v>3</v>
      </c>
      <c r="V12" s="11" t="n">
        <f aca="false">T12-U12</f>
        <v>0</v>
      </c>
      <c r="W12" s="9" t="n">
        <v>3</v>
      </c>
      <c r="X12" s="10" t="n">
        <v>3</v>
      </c>
      <c r="Y12" s="11" t="n">
        <f aca="false">W12-X12</f>
        <v>0</v>
      </c>
      <c r="Z12" s="12" t="n">
        <f aca="false">COUNTIFS($A$2:$Y$2, "D", A12:Y12, 0)/8</f>
        <v>0.625</v>
      </c>
    </row>
    <row r="13" customFormat="false" ht="12.75" hidden="false" customHeight="true" outlineLevel="0" collapsed="false">
      <c r="A13" s="9" t="s">
        <v>23</v>
      </c>
      <c r="B13" s="9" t="n">
        <v>2</v>
      </c>
      <c r="C13" s="10" t="n">
        <v>2</v>
      </c>
      <c r="D13" s="11" t="n">
        <f aca="false">B13-C13</f>
        <v>0</v>
      </c>
      <c r="E13" s="9" t="n">
        <v>2</v>
      </c>
      <c r="F13" s="10" t="n">
        <v>2</v>
      </c>
      <c r="G13" s="11" t="n">
        <f aca="false">E13-F13</f>
        <v>0</v>
      </c>
      <c r="H13" s="9" t="n">
        <v>2</v>
      </c>
      <c r="I13" s="10" t="n">
        <v>2</v>
      </c>
      <c r="J13" s="11" t="n">
        <f aca="false">H13-I13</f>
        <v>0</v>
      </c>
      <c r="K13" s="9" t="n">
        <v>2</v>
      </c>
      <c r="L13" s="10" t="n">
        <v>2</v>
      </c>
      <c r="M13" s="11" t="n">
        <f aca="false">K13-L13</f>
        <v>0</v>
      </c>
      <c r="N13" s="9" t="n">
        <v>2</v>
      </c>
      <c r="O13" s="10" t="n">
        <v>2</v>
      </c>
      <c r="P13" s="11" t="n">
        <f aca="false">N13-O13</f>
        <v>0</v>
      </c>
      <c r="Q13" s="9" t="n">
        <v>2</v>
      </c>
      <c r="R13" s="10" t="n">
        <v>2</v>
      </c>
      <c r="S13" s="10" t="n">
        <f aca="false">Q13-R13</f>
        <v>0</v>
      </c>
      <c r="T13" s="9" t="n">
        <v>2</v>
      </c>
      <c r="U13" s="10" t="n">
        <v>2</v>
      </c>
      <c r="V13" s="11" t="n">
        <f aca="false">T13-U13</f>
        <v>0</v>
      </c>
      <c r="W13" s="9" t="n">
        <v>2</v>
      </c>
      <c r="X13" s="10" t="n">
        <v>2</v>
      </c>
      <c r="Y13" s="11" t="n">
        <f aca="false">W13-X13</f>
        <v>0</v>
      </c>
      <c r="Z13" s="12" t="n">
        <f aca="false">COUNTIFS($A$2:$Y$2, "D", A13:Y13, 0)/8</f>
        <v>1</v>
      </c>
    </row>
    <row r="14" customFormat="false" ht="12.75" hidden="false" customHeight="true" outlineLevel="0" collapsed="false">
      <c r="A14" s="13" t="s">
        <v>24</v>
      </c>
      <c r="B14" s="13" t="n">
        <v>3</v>
      </c>
      <c r="C14" s="8" t="n">
        <v>4</v>
      </c>
      <c r="D14" s="14" t="n">
        <f aca="false">B14-C14</f>
        <v>-1</v>
      </c>
      <c r="E14" s="13" t="n">
        <v>3</v>
      </c>
      <c r="F14" s="8" t="n">
        <v>4</v>
      </c>
      <c r="G14" s="14" t="n">
        <f aca="false">E14-F14</f>
        <v>-1</v>
      </c>
      <c r="H14" s="13" t="n">
        <v>1</v>
      </c>
      <c r="I14" s="8" t="n">
        <v>4</v>
      </c>
      <c r="J14" s="14" t="n">
        <f aca="false">H14-I14</f>
        <v>-3</v>
      </c>
      <c r="K14" s="13" t="n">
        <v>2</v>
      </c>
      <c r="L14" s="8" t="n">
        <v>4</v>
      </c>
      <c r="M14" s="14" t="n">
        <f aca="false">K14-L14</f>
        <v>-2</v>
      </c>
      <c r="N14" s="13" t="n">
        <v>4</v>
      </c>
      <c r="O14" s="8" t="n">
        <v>4</v>
      </c>
      <c r="P14" s="14" t="n">
        <f aca="false">N14-O14</f>
        <v>0</v>
      </c>
      <c r="Q14" s="13" t="n">
        <v>5</v>
      </c>
      <c r="R14" s="10" t="n">
        <v>4</v>
      </c>
      <c r="S14" s="10" t="n">
        <f aca="false">Q14-R14</f>
        <v>1</v>
      </c>
      <c r="T14" s="13" t="n">
        <v>5</v>
      </c>
      <c r="U14" s="8" t="n">
        <v>4</v>
      </c>
      <c r="V14" s="14" t="n">
        <f aca="false">T14-U14</f>
        <v>1</v>
      </c>
      <c r="W14" s="9" t="n">
        <v>4</v>
      </c>
      <c r="X14" s="10" t="n">
        <v>4</v>
      </c>
      <c r="Y14" s="11" t="n">
        <f aca="false">W14-X14</f>
        <v>0</v>
      </c>
      <c r="Z14" s="12" t="n">
        <f aca="false">COUNTIFS($A$2:$Y$2, "D", A14:Y14, 0)/8</f>
        <v>0.25</v>
      </c>
    </row>
    <row r="15" customFormat="false" ht="12.75" hidden="false" customHeight="true" outlineLevel="0" collapsed="false">
      <c r="A15" s="9" t="s">
        <v>25</v>
      </c>
      <c r="B15" s="15" t="n">
        <f aca="false">COUNTIF(D3:D14, 0)</f>
        <v>7</v>
      </c>
      <c r="C15" s="15"/>
      <c r="D15" s="15"/>
      <c r="E15" s="15" t="n">
        <f aca="false">COUNTIF(G3:G14, 0)</f>
        <v>6</v>
      </c>
      <c r="F15" s="15"/>
      <c r="G15" s="15"/>
      <c r="H15" s="15" t="n">
        <f aca="false">COUNTIF(J3:J14, 0)</f>
        <v>6</v>
      </c>
      <c r="I15" s="15"/>
      <c r="J15" s="15"/>
      <c r="K15" s="15" t="n">
        <f aca="false">COUNTIF(M3:M14, 0)</f>
        <v>4</v>
      </c>
      <c r="L15" s="15"/>
      <c r="M15" s="15"/>
      <c r="N15" s="15" t="n">
        <f aca="false">COUNTIF(P3:P14, 0)</f>
        <v>10</v>
      </c>
      <c r="O15" s="15"/>
      <c r="P15" s="15"/>
      <c r="Q15" s="16" t="n">
        <f aca="false">COUNTIF(S3:S14, 0)</f>
        <v>8</v>
      </c>
      <c r="R15" s="16"/>
      <c r="S15" s="16"/>
      <c r="T15" s="11" t="n">
        <f aca="false">COUNTIF(V3:V14, 0)</f>
        <v>10</v>
      </c>
      <c r="U15" s="11"/>
      <c r="V15" s="11"/>
      <c r="W15" s="17" t="n">
        <f aca="false">COUNTIF(Y3:Y14, 0)</f>
        <v>10</v>
      </c>
      <c r="X15" s="17"/>
      <c r="Y15" s="17"/>
      <c r="Z15" s="18"/>
    </row>
    <row r="16" customFormat="false" ht="12.75" hidden="false" customHeight="true" outlineLevel="0" collapsed="false">
      <c r="A16" s="19" t="s">
        <v>26</v>
      </c>
      <c r="B16" s="20" t="n">
        <f aca="false">SUM(B3:B14)</f>
        <v>50</v>
      </c>
      <c r="C16" s="21" t="n">
        <f aca="false">SUM(C3:C14)</f>
        <v>50</v>
      </c>
      <c r="D16" s="22" t="s">
        <v>27</v>
      </c>
      <c r="E16" s="20" t="n">
        <f aca="false">SUM(E3:E14)</f>
        <v>50</v>
      </c>
      <c r="F16" s="21" t="n">
        <f aca="false">SUM(F3:F14)</f>
        <v>50</v>
      </c>
      <c r="G16" s="22" t="s">
        <v>27</v>
      </c>
      <c r="H16" s="20" t="n">
        <f aca="false">SUM(H3:H14)</f>
        <v>50</v>
      </c>
      <c r="I16" s="21" t="n">
        <f aca="false">SUM(I3:I14)</f>
        <v>50</v>
      </c>
      <c r="J16" s="22" t="s">
        <v>27</v>
      </c>
      <c r="K16" s="20" t="n">
        <f aca="false">SUM(K3:K14)</f>
        <v>50</v>
      </c>
      <c r="L16" s="21" t="n">
        <f aca="false">SUM(L3:L14)</f>
        <v>50</v>
      </c>
      <c r="M16" s="22" t="s">
        <v>27</v>
      </c>
      <c r="N16" s="20" t="n">
        <f aca="false">SUM(N3:N14)</f>
        <v>50</v>
      </c>
      <c r="O16" s="21" t="n">
        <f aca="false">SUM(O3:O14)</f>
        <v>50</v>
      </c>
      <c r="P16" s="22" t="s">
        <v>27</v>
      </c>
      <c r="Q16" s="20" t="n">
        <f aca="false">SUM(Q3:Q14)</f>
        <v>50</v>
      </c>
      <c r="R16" s="21" t="n">
        <f aca="false">SUM(R3:R14)</f>
        <v>50</v>
      </c>
      <c r="S16" s="22"/>
      <c r="T16" s="21" t="n">
        <f aca="false">SUM(T3:T14)</f>
        <v>50</v>
      </c>
      <c r="U16" s="21" t="n">
        <f aca="false">SUM(U3:U14)</f>
        <v>50</v>
      </c>
      <c r="V16" s="22" t="s">
        <v>27</v>
      </c>
      <c r="W16" s="21" t="n">
        <f aca="false">SUM(W3:W14)</f>
        <v>50</v>
      </c>
      <c r="X16" s="21" t="n">
        <f aca="false">SUM(X3:X14)</f>
        <v>50</v>
      </c>
      <c r="Z16" s="18"/>
    </row>
    <row r="17" customFormat="false" ht="12.75" hidden="false" customHeight="true" outlineLevel="0" collapsed="false">
      <c r="A17" s="23" t="s">
        <v>28</v>
      </c>
      <c r="B17" s="24" t="n">
        <f aca="false">B15/12</f>
        <v>0.583333333333333</v>
      </c>
      <c r="C17" s="24"/>
      <c r="D17" s="24"/>
      <c r="E17" s="24" t="n">
        <f aca="false">E15/12</f>
        <v>0.5</v>
      </c>
      <c r="F17" s="24"/>
      <c r="G17" s="24"/>
      <c r="H17" s="24" t="n">
        <f aca="false">H15/12</f>
        <v>0.5</v>
      </c>
      <c r="I17" s="24"/>
      <c r="J17" s="24"/>
      <c r="K17" s="24" t="n">
        <f aca="false">K15/12</f>
        <v>0.333333333333333</v>
      </c>
      <c r="L17" s="24"/>
      <c r="M17" s="24"/>
      <c r="N17" s="24" t="n">
        <f aca="false">N15/12</f>
        <v>0.833333333333333</v>
      </c>
      <c r="O17" s="24"/>
      <c r="P17" s="24"/>
      <c r="Q17" s="24" t="n">
        <f aca="false">Q15/12</f>
        <v>0.666666666666667</v>
      </c>
      <c r="R17" s="24"/>
      <c r="S17" s="24"/>
      <c r="T17" s="25" t="n">
        <f aca="false">T15/12</f>
        <v>0.833333333333333</v>
      </c>
      <c r="U17" s="25"/>
      <c r="V17" s="25"/>
      <c r="W17" s="25" t="n">
        <f aca="false">W15/12</f>
        <v>0.833333333333333</v>
      </c>
      <c r="X17" s="25"/>
      <c r="Y17" s="25"/>
      <c r="Z17" s="26"/>
      <c r="AA17" s="27"/>
    </row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>
      <c r="A22" s="28" t="s">
        <v>29</v>
      </c>
    </row>
    <row r="23" customFormat="false" ht="12.75" hidden="false" customHeight="true" outlineLevel="0" collapsed="false">
      <c r="A23" s="29" t="s">
        <v>30</v>
      </c>
    </row>
    <row r="24" customFormat="false" ht="12.75" hidden="false" customHeight="true" outlineLevel="0" collapsed="false">
      <c r="A24" s="29" t="s">
        <v>31</v>
      </c>
    </row>
    <row r="25" customFormat="false" ht="12.75" hidden="false" customHeight="true" outlineLevel="0" collapsed="false">
      <c r="A25" s="29" t="s">
        <v>32</v>
      </c>
    </row>
    <row r="26" customFormat="false" ht="12.75" hidden="false" customHeight="true" outlineLevel="0" collapsed="false">
      <c r="A26" s="29" t="s">
        <v>33</v>
      </c>
    </row>
    <row r="27" customFormat="false" ht="12.75" hidden="false" customHeight="true" outlineLevel="0" collapsed="false">
      <c r="A27" s="30" t="s">
        <v>34</v>
      </c>
    </row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25">
    <mergeCell ref="B1:D1"/>
    <mergeCell ref="E1:G1"/>
    <mergeCell ref="H1:J1"/>
    <mergeCell ref="K1:M1"/>
    <mergeCell ref="N1:P1"/>
    <mergeCell ref="Q1:S1"/>
    <mergeCell ref="T1:V1"/>
    <mergeCell ref="W1:Y1"/>
    <mergeCell ref="Z1:Z2"/>
    <mergeCell ref="B15:D15"/>
    <mergeCell ref="E15:G15"/>
    <mergeCell ref="H15:J15"/>
    <mergeCell ref="K15:M15"/>
    <mergeCell ref="N15:P15"/>
    <mergeCell ref="Q15:S15"/>
    <mergeCell ref="T15:V15"/>
    <mergeCell ref="W15:Y15"/>
    <mergeCell ref="B17:D17"/>
    <mergeCell ref="E17:G17"/>
    <mergeCell ref="H17:J17"/>
    <mergeCell ref="K17:M17"/>
    <mergeCell ref="N17:P17"/>
    <mergeCell ref="Q17:S17"/>
    <mergeCell ref="T17:V17"/>
    <mergeCell ref="W17:Y17"/>
  </mergeCells>
  <printOptions headings="false" gridLines="false" gridLinesSet="true" horizontalCentered="false" verticalCentered="false"/>
  <pageMargins left="0.7875" right="0.7875" top="1.025" bottom="1.02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LibreOffice/26.2.4.2$Linux_X86_64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2026-07-15T10:41:55Z</dcterms:modified>
  <cp:revision>2</cp:revision>
  <dc:subject/>
  <dc:title/>
</cp:coreProperties>
</file>